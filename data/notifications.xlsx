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ag0004/Library/CloudStorage/GoogleDrive-romain.ragonnet@monash.edu/My Drive/TB Kiribati/Data sent 9 Dec 2025/"/>
    </mc:Choice>
  </mc:AlternateContent>
  <xr:revisionPtr revIDLastSave="0" documentId="13_ncr:1_{70065D30-0C92-7844-B931-129608D1498E}" xr6:coauthVersionLast="47" xr6:coauthVersionMax="47" xr10:uidLastSave="{00000000-0000-0000-0000-000000000000}"/>
  <bookViews>
    <workbookView xWindow="0" yWindow="500" windowWidth="38400" windowHeight="21100" xr2:uid="{BD6C982A-B246-447A-A590-2A5FE67C3ED8}"/>
  </bookViews>
  <sheets>
    <sheet name="Sheet1" sheetId="1" r:id="rId1"/>
  </sheets>
  <definedNames>
    <definedName name="_xlchart.v1.0" hidden="1">Sheet1!$A$1</definedName>
    <definedName name="_xlchart.v1.1" hidden="1">Sheet1!$A$2:$A$29</definedName>
    <definedName name="_xlchart.v1.2" hidden="1">Sheet1!$M$1</definedName>
    <definedName name="_xlchart.v1.3" hidden="1">Sheet1!$M$2:$M$29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5" i="1"/>
  <c r="M6" i="1"/>
  <c r="M7" i="1"/>
  <c r="M8" i="1"/>
  <c r="M3" i="1"/>
  <c r="M4" i="1"/>
  <c r="M2" i="1"/>
  <c r="K1" i="1"/>
</calcChain>
</file>

<file path=xl/sharedStrings.xml><?xml version="1.0" encoding="utf-8"?>
<sst xmlns="http://schemas.openxmlformats.org/spreadsheetml/2006/main" count="9" uniqueCount="9">
  <si>
    <t>bairiki</t>
  </si>
  <si>
    <t>betio</t>
  </si>
  <si>
    <t>nanikai</t>
  </si>
  <si>
    <t>(blank)</t>
  </si>
  <si>
    <t>all other</t>
  </si>
  <si>
    <t>total</t>
  </si>
  <si>
    <t>year</t>
  </si>
  <si>
    <t>frac_all_other_pop</t>
  </si>
  <si>
    <t>inputed_all_other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</si>
</sst>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inputed_all_other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Sheet1!$A$2:$A$29</c:f>
              <c:numCache>
                <c:formatCode>General</c:formatCode>
                <c:ptCount val="28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</c:numCache>
            </c:numRef>
          </c:xVal>
          <c:yVal>
            <c:numRef>
              <c:f>Sheet1!$M$2:$M$29</c:f>
              <c:numCache>
                <c:formatCode>General</c:formatCode>
                <c:ptCount val="28"/>
                <c:pt idx="0">
                  <c:v>131</c:v>
                </c:pt>
                <c:pt idx="1">
                  <c:v>141</c:v>
                </c:pt>
                <c:pt idx="2">
                  <c:v>142</c:v>
                </c:pt>
                <c:pt idx="3">
                  <c:v>113</c:v>
                </c:pt>
                <c:pt idx="4">
                  <c:v>110</c:v>
                </c:pt>
                <c:pt idx="5">
                  <c:v>148</c:v>
                </c:pt>
                <c:pt idx="6">
                  <c:v>153</c:v>
                </c:pt>
                <c:pt idx="7">
                  <c:v>196</c:v>
                </c:pt>
                <c:pt idx="8">
                  <c:v>214</c:v>
                </c:pt>
                <c:pt idx="9">
                  <c:v>206</c:v>
                </c:pt>
                <c:pt idx="10">
                  <c:v>200</c:v>
                </c:pt>
                <c:pt idx="11">
                  <c:v>166</c:v>
                </c:pt>
                <c:pt idx="12">
                  <c:v>185</c:v>
                </c:pt>
                <c:pt idx="13">
                  <c:v>206</c:v>
                </c:pt>
                <c:pt idx="14">
                  <c:v>194</c:v>
                </c:pt>
                <c:pt idx="15">
                  <c:v>244</c:v>
                </c:pt>
                <c:pt idx="16">
                  <c:v>241</c:v>
                </c:pt>
                <c:pt idx="17">
                  <c:v>333</c:v>
                </c:pt>
                <c:pt idx="18">
                  <c:v>304</c:v>
                </c:pt>
                <c:pt idx="19">
                  <c:v>236</c:v>
                </c:pt>
                <c:pt idx="20">
                  <c:v>193</c:v>
                </c:pt>
                <c:pt idx="21">
                  <c:v>252</c:v>
                </c:pt>
                <c:pt idx="22">
                  <c:v>232</c:v>
                </c:pt>
                <c:pt idx="23">
                  <c:v>209</c:v>
                </c:pt>
                <c:pt idx="24">
                  <c:v>210</c:v>
                </c:pt>
                <c:pt idx="25">
                  <c:v>363</c:v>
                </c:pt>
                <c:pt idx="26">
                  <c:v>363</c:v>
                </c:pt>
                <c:pt idx="27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9-FA45-B82E-E652D2FF2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403216"/>
        <c:axId val="1224404928"/>
      </c:scatterChart>
      <c:valAx>
        <c:axId val="122440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04928"/>
        <c:crosses val="autoZero"/>
        <c:crossBetween val="midCat"/>
      </c:valAx>
      <c:valAx>
        <c:axId val="12244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0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492751</xdr:colOff>
      <xdr:row>33</xdr:row>
      <xdr:rowOff>61746</xdr:rowOff>
    </xdr:from>
    <xdr:to>
      <xdr:col>10</xdr:col>
      <xdr:colOff>549149</xdr:colOff>
      <xdr:row>47</xdr:row>
      <xdr:rowOff>137945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F0762-80D2-3D50-C3A3-FF8008047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9C97-F05E-4E74-8B59-4AAC1D1E59A0}">
  <dimension ref="A1:M29"/>
  <sheetViews>
    <sheetView tabSelected="1" zoomScale="190" zoomScaleNormal="190" workbookViewId="0">
      <selection activeCell="K17" sqref="K17"/>
    </sheetView>
  </sheetViews>
  <sheetFormatPr baseColWidth="10" defaultColWidth="8.83203125" defaultRowHeight="15" x14ac:dyDescent="0.2"/>
  <cols>
    <col min="10" max="10" width="15" bestFit="1" customWidth="1"/>
    <col min="13" max="13" width="14.1640625" bestFit="1" customWidth="1"/>
  </cols>
  <sheetData>
    <row r="1" spans="1:13" x14ac:dyDescent="0.2">
      <c r="A1" t="s">
        <v>6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J1" t="s">
        <v>7</v>
      </c>
      <c r="K1">
        <f>40483/63968</f>
        <v>0.63286330665332668</v>
      </c>
      <c r="M1" t="s">
        <v>8</v>
      </c>
    </row>
    <row r="2" spans="1:13" x14ac:dyDescent="0.2">
      <c r="A2">
        <v>1998</v>
      </c>
      <c r="B2">
        <v>100</v>
      </c>
      <c r="C2">
        <v>19</v>
      </c>
      <c r="D2">
        <v>4</v>
      </c>
      <c r="E2">
        <v>61</v>
      </c>
      <c r="F2">
        <v>92</v>
      </c>
      <c r="G2">
        <v>276</v>
      </c>
      <c r="M2">
        <f>ROUND(F2+K$1*E2,0)</f>
        <v>131</v>
      </c>
    </row>
    <row r="3" spans="1:13" x14ac:dyDescent="0.2">
      <c r="A3">
        <v>1999</v>
      </c>
      <c r="B3">
        <v>68</v>
      </c>
      <c r="C3">
        <v>14</v>
      </c>
      <c r="D3">
        <v>3</v>
      </c>
      <c r="E3">
        <v>76</v>
      </c>
      <c r="F3">
        <v>93</v>
      </c>
      <c r="G3">
        <v>254</v>
      </c>
      <c r="M3">
        <f t="shared" ref="M3:M29" si="0">ROUND(F3+K$1*E3,0)</f>
        <v>141</v>
      </c>
    </row>
    <row r="4" spans="1:13" x14ac:dyDescent="0.2">
      <c r="A4">
        <v>2000</v>
      </c>
      <c r="B4">
        <v>54</v>
      </c>
      <c r="C4">
        <v>9</v>
      </c>
      <c r="D4">
        <v>4</v>
      </c>
      <c r="E4">
        <v>86</v>
      </c>
      <c r="F4">
        <v>88</v>
      </c>
      <c r="G4">
        <v>241</v>
      </c>
      <c r="M4">
        <f t="shared" si="0"/>
        <v>142</v>
      </c>
    </row>
    <row r="5" spans="1:13" x14ac:dyDescent="0.2">
      <c r="A5">
        <v>2001</v>
      </c>
      <c r="B5">
        <v>51</v>
      </c>
      <c r="C5">
        <v>15</v>
      </c>
      <c r="D5">
        <v>2</v>
      </c>
      <c r="E5">
        <v>70</v>
      </c>
      <c r="F5">
        <v>69</v>
      </c>
      <c r="G5">
        <v>207</v>
      </c>
      <c r="M5">
        <f t="shared" si="0"/>
        <v>113</v>
      </c>
    </row>
    <row r="6" spans="1:13" x14ac:dyDescent="0.2">
      <c r="A6">
        <v>2002</v>
      </c>
      <c r="B6">
        <v>47</v>
      </c>
      <c r="C6">
        <v>8</v>
      </c>
      <c r="D6">
        <v>6</v>
      </c>
      <c r="E6">
        <v>62</v>
      </c>
      <c r="F6">
        <v>71</v>
      </c>
      <c r="G6">
        <v>194</v>
      </c>
      <c r="M6">
        <f t="shared" si="0"/>
        <v>110</v>
      </c>
    </row>
    <row r="7" spans="1:13" x14ac:dyDescent="0.2">
      <c r="A7">
        <v>2003</v>
      </c>
      <c r="B7">
        <v>84</v>
      </c>
      <c r="C7">
        <v>17</v>
      </c>
      <c r="D7">
        <v>4</v>
      </c>
      <c r="E7">
        <v>78</v>
      </c>
      <c r="F7">
        <v>99</v>
      </c>
      <c r="G7">
        <v>282</v>
      </c>
      <c r="M7">
        <f t="shared" si="0"/>
        <v>148</v>
      </c>
    </row>
    <row r="8" spans="1:13" x14ac:dyDescent="0.2">
      <c r="A8">
        <v>2004</v>
      </c>
      <c r="B8">
        <v>96</v>
      </c>
      <c r="C8">
        <v>24</v>
      </c>
      <c r="D8">
        <v>2</v>
      </c>
      <c r="E8">
        <v>69</v>
      </c>
      <c r="F8">
        <v>109</v>
      </c>
      <c r="G8">
        <v>300</v>
      </c>
      <c r="M8">
        <f t="shared" si="0"/>
        <v>153</v>
      </c>
    </row>
    <row r="9" spans="1:13" x14ac:dyDescent="0.2">
      <c r="A9">
        <v>2005</v>
      </c>
      <c r="B9">
        <v>72</v>
      </c>
      <c r="C9">
        <v>26</v>
      </c>
      <c r="D9">
        <v>8</v>
      </c>
      <c r="E9">
        <v>100</v>
      </c>
      <c r="F9">
        <v>133</v>
      </c>
      <c r="G9">
        <v>339</v>
      </c>
      <c r="M9">
        <f t="shared" si="0"/>
        <v>196</v>
      </c>
    </row>
    <row r="10" spans="1:13" x14ac:dyDescent="0.2">
      <c r="A10">
        <v>2006</v>
      </c>
      <c r="B10">
        <v>79</v>
      </c>
      <c r="C10">
        <v>26</v>
      </c>
      <c r="D10">
        <v>11</v>
      </c>
      <c r="E10">
        <v>92</v>
      </c>
      <c r="F10">
        <v>156</v>
      </c>
      <c r="G10">
        <v>364</v>
      </c>
      <c r="M10">
        <f t="shared" si="0"/>
        <v>214</v>
      </c>
    </row>
    <row r="11" spans="1:13" x14ac:dyDescent="0.2">
      <c r="A11">
        <v>2007</v>
      </c>
      <c r="B11">
        <v>76</v>
      </c>
      <c r="C11">
        <v>16</v>
      </c>
      <c r="D11">
        <v>10</v>
      </c>
      <c r="E11">
        <v>95</v>
      </c>
      <c r="F11">
        <v>146</v>
      </c>
      <c r="G11">
        <v>343</v>
      </c>
      <c r="M11">
        <f t="shared" si="0"/>
        <v>206</v>
      </c>
    </row>
    <row r="12" spans="1:13" x14ac:dyDescent="0.2">
      <c r="A12">
        <v>2008</v>
      </c>
      <c r="B12">
        <v>78</v>
      </c>
      <c r="C12">
        <v>25</v>
      </c>
      <c r="D12">
        <v>4</v>
      </c>
      <c r="E12">
        <v>94</v>
      </c>
      <c r="F12">
        <v>141</v>
      </c>
      <c r="G12">
        <v>342</v>
      </c>
      <c r="M12">
        <f t="shared" si="0"/>
        <v>200</v>
      </c>
    </row>
    <row r="13" spans="1:13" x14ac:dyDescent="0.2">
      <c r="A13">
        <v>2009</v>
      </c>
      <c r="B13">
        <v>75</v>
      </c>
      <c r="C13">
        <v>8</v>
      </c>
      <c r="D13">
        <v>2</v>
      </c>
      <c r="E13">
        <v>89</v>
      </c>
      <c r="F13">
        <v>110</v>
      </c>
      <c r="G13">
        <v>284</v>
      </c>
      <c r="M13">
        <f t="shared" si="0"/>
        <v>166</v>
      </c>
    </row>
    <row r="14" spans="1:13" x14ac:dyDescent="0.2">
      <c r="A14">
        <v>2010</v>
      </c>
      <c r="B14">
        <v>60</v>
      </c>
      <c r="C14">
        <v>15</v>
      </c>
      <c r="D14">
        <v>4</v>
      </c>
      <c r="E14">
        <v>81</v>
      </c>
      <c r="F14">
        <v>134</v>
      </c>
      <c r="G14">
        <v>294</v>
      </c>
      <c r="M14">
        <f t="shared" si="0"/>
        <v>185</v>
      </c>
    </row>
    <row r="15" spans="1:13" x14ac:dyDescent="0.2">
      <c r="A15">
        <v>2011</v>
      </c>
      <c r="B15">
        <v>97</v>
      </c>
      <c r="C15">
        <v>11</v>
      </c>
      <c r="D15">
        <v>6</v>
      </c>
      <c r="E15">
        <v>92</v>
      </c>
      <c r="F15">
        <v>148</v>
      </c>
      <c r="G15">
        <v>354</v>
      </c>
      <c r="M15">
        <f t="shared" si="0"/>
        <v>206</v>
      </c>
    </row>
    <row r="16" spans="1:13" x14ac:dyDescent="0.2">
      <c r="A16">
        <v>2012</v>
      </c>
      <c r="B16">
        <v>101</v>
      </c>
      <c r="C16">
        <v>12</v>
      </c>
      <c r="D16">
        <v>5</v>
      </c>
      <c r="E16">
        <v>98</v>
      </c>
      <c r="F16">
        <v>132</v>
      </c>
      <c r="G16">
        <v>348</v>
      </c>
      <c r="M16">
        <f t="shared" si="0"/>
        <v>194</v>
      </c>
    </row>
    <row r="17" spans="1:13" x14ac:dyDescent="0.2">
      <c r="A17">
        <v>2013</v>
      </c>
      <c r="B17">
        <v>104</v>
      </c>
      <c r="C17">
        <v>21</v>
      </c>
      <c r="D17">
        <v>5</v>
      </c>
      <c r="E17">
        <v>98</v>
      </c>
      <c r="F17">
        <v>182</v>
      </c>
      <c r="G17">
        <v>410</v>
      </c>
      <c r="M17">
        <f t="shared" si="0"/>
        <v>244</v>
      </c>
    </row>
    <row r="18" spans="1:13" x14ac:dyDescent="0.2">
      <c r="A18">
        <v>2014</v>
      </c>
      <c r="B18">
        <v>124</v>
      </c>
      <c r="C18">
        <v>24</v>
      </c>
      <c r="D18">
        <v>7</v>
      </c>
      <c r="E18">
        <v>96</v>
      </c>
      <c r="F18">
        <v>180</v>
      </c>
      <c r="G18">
        <v>431</v>
      </c>
      <c r="M18">
        <f t="shared" si="0"/>
        <v>241</v>
      </c>
    </row>
    <row r="19" spans="1:13" x14ac:dyDescent="0.2">
      <c r="A19">
        <v>2015</v>
      </c>
      <c r="B19">
        <v>132</v>
      </c>
      <c r="C19">
        <v>16</v>
      </c>
      <c r="D19">
        <v>5</v>
      </c>
      <c r="E19">
        <v>82</v>
      </c>
      <c r="F19">
        <v>281</v>
      </c>
      <c r="G19">
        <v>516</v>
      </c>
      <c r="M19">
        <f t="shared" si="0"/>
        <v>333</v>
      </c>
    </row>
    <row r="20" spans="1:13" x14ac:dyDescent="0.2">
      <c r="A20">
        <v>2016</v>
      </c>
      <c r="B20">
        <v>135</v>
      </c>
      <c r="C20">
        <v>25</v>
      </c>
      <c r="D20">
        <v>10</v>
      </c>
      <c r="E20">
        <v>119</v>
      </c>
      <c r="F20">
        <v>229</v>
      </c>
      <c r="G20">
        <v>518</v>
      </c>
      <c r="M20">
        <f t="shared" si="0"/>
        <v>304</v>
      </c>
    </row>
    <row r="21" spans="1:13" x14ac:dyDescent="0.2">
      <c r="A21">
        <v>2017</v>
      </c>
      <c r="B21">
        <v>90</v>
      </c>
      <c r="C21">
        <v>11</v>
      </c>
      <c r="D21">
        <v>13</v>
      </c>
      <c r="E21">
        <v>120</v>
      </c>
      <c r="F21">
        <v>160</v>
      </c>
      <c r="G21">
        <v>394</v>
      </c>
      <c r="M21">
        <f t="shared" si="0"/>
        <v>236</v>
      </c>
    </row>
    <row r="22" spans="1:13" x14ac:dyDescent="0.2">
      <c r="A22">
        <v>2018</v>
      </c>
      <c r="B22">
        <v>70</v>
      </c>
      <c r="C22">
        <v>26</v>
      </c>
      <c r="D22">
        <v>4</v>
      </c>
      <c r="E22">
        <v>82</v>
      </c>
      <c r="F22">
        <v>141</v>
      </c>
      <c r="G22">
        <v>323</v>
      </c>
      <c r="M22">
        <f t="shared" si="0"/>
        <v>193</v>
      </c>
    </row>
    <row r="23" spans="1:13" x14ac:dyDescent="0.2">
      <c r="A23">
        <v>2019</v>
      </c>
      <c r="B23">
        <v>87</v>
      </c>
      <c r="C23">
        <v>33</v>
      </c>
      <c r="D23">
        <v>0</v>
      </c>
      <c r="E23">
        <v>119</v>
      </c>
      <c r="F23">
        <v>177</v>
      </c>
      <c r="G23">
        <v>416</v>
      </c>
      <c r="M23">
        <f t="shared" si="0"/>
        <v>252</v>
      </c>
    </row>
    <row r="24" spans="1:13" x14ac:dyDescent="0.2">
      <c r="A24">
        <v>2020</v>
      </c>
      <c r="B24">
        <v>80</v>
      </c>
      <c r="C24">
        <v>22</v>
      </c>
      <c r="D24">
        <v>7</v>
      </c>
      <c r="E24">
        <v>122</v>
      </c>
      <c r="F24">
        <v>155</v>
      </c>
      <c r="G24">
        <v>386</v>
      </c>
      <c r="M24">
        <f t="shared" si="0"/>
        <v>232</v>
      </c>
    </row>
    <row r="25" spans="1:13" x14ac:dyDescent="0.2">
      <c r="A25">
        <v>2021</v>
      </c>
      <c r="B25">
        <v>75</v>
      </c>
      <c r="C25">
        <v>19</v>
      </c>
      <c r="D25">
        <v>4</v>
      </c>
      <c r="E25">
        <v>93</v>
      </c>
      <c r="F25">
        <v>150</v>
      </c>
      <c r="G25">
        <v>341</v>
      </c>
      <c r="M25">
        <f t="shared" si="0"/>
        <v>209</v>
      </c>
    </row>
    <row r="26" spans="1:13" x14ac:dyDescent="0.2">
      <c r="A26">
        <v>2022</v>
      </c>
      <c r="B26">
        <v>90</v>
      </c>
      <c r="C26">
        <v>16</v>
      </c>
      <c r="D26">
        <v>9</v>
      </c>
      <c r="E26">
        <v>102</v>
      </c>
      <c r="F26">
        <v>145</v>
      </c>
      <c r="G26">
        <v>362</v>
      </c>
      <c r="M26">
        <f t="shared" si="0"/>
        <v>210</v>
      </c>
    </row>
    <row r="27" spans="1:13" x14ac:dyDescent="0.2">
      <c r="A27">
        <v>2023</v>
      </c>
      <c r="B27">
        <v>94</v>
      </c>
      <c r="C27">
        <v>17</v>
      </c>
      <c r="D27">
        <v>4</v>
      </c>
      <c r="E27">
        <v>235</v>
      </c>
      <c r="F27">
        <v>214</v>
      </c>
      <c r="G27">
        <v>564</v>
      </c>
      <c r="M27">
        <f t="shared" si="0"/>
        <v>363</v>
      </c>
    </row>
    <row r="28" spans="1:13" x14ac:dyDescent="0.2">
      <c r="A28">
        <v>2024</v>
      </c>
      <c r="B28">
        <v>138</v>
      </c>
      <c r="C28">
        <v>22</v>
      </c>
      <c r="D28">
        <v>4</v>
      </c>
      <c r="E28">
        <v>185</v>
      </c>
      <c r="F28">
        <v>246</v>
      </c>
      <c r="G28">
        <v>595</v>
      </c>
      <c r="M28">
        <f t="shared" si="0"/>
        <v>363</v>
      </c>
    </row>
    <row r="29" spans="1:13" x14ac:dyDescent="0.2">
      <c r="A29">
        <v>2025</v>
      </c>
      <c r="B29">
        <v>35</v>
      </c>
      <c r="C29">
        <v>1</v>
      </c>
      <c r="D29">
        <v>0</v>
      </c>
      <c r="E29">
        <v>37</v>
      </c>
      <c r="F29">
        <v>76</v>
      </c>
      <c r="G29">
        <v>149</v>
      </c>
      <c r="M29">
        <f t="shared" si="0"/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Hill</dc:creator>
  <cp:lastModifiedBy>Romain Ragonnet</cp:lastModifiedBy>
  <dcterms:created xsi:type="dcterms:W3CDTF">2025-12-08T23:10:41Z</dcterms:created>
  <dcterms:modified xsi:type="dcterms:W3CDTF">2025-12-15T03:00:39Z</dcterms:modified>
</cp:coreProperties>
</file>